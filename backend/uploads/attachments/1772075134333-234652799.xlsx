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ch\Downloads\"/>
    </mc:Choice>
  </mc:AlternateContent>
  <xr:revisionPtr revIDLastSave="0" documentId="13_ncr:1_{1AF85FDF-A174-40C1-A421-2FB6AD43C68C}" xr6:coauthVersionLast="47" xr6:coauthVersionMax="47" xr10:uidLastSave="{00000000-0000-0000-0000-000000000000}"/>
  <bookViews>
    <workbookView xWindow="-120" yWindow="-120" windowWidth="29040" windowHeight="15720" xr2:uid="{20BD53BD-C20E-4767-BAD8-9168E05E5CB9}"/>
  </bookViews>
  <sheets>
    <sheet name="Boursiers soutenus par BRANA" sheetId="2" r:id="rId1"/>
  </sheets>
  <definedNames>
    <definedName name="ExternalData_1" localSheetId="0" hidden="1">'Boursiers soutenus par BRANA'!$I$2:$P$15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6" i="2"/>
  <c r="C7" i="2"/>
  <c r="C8" i="2"/>
  <c r="C9" i="2"/>
  <c r="C10" i="2"/>
  <c r="C11" i="2"/>
  <c r="C12" i="2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E8D597-F281-4FE0-ADE3-9D026B6D4EDE}" keepAlive="1" name="Query - CiviCRM_Contact_Search (18)" description="Connection to the 'CiviCRM_Contact_Search (18)' query in the workbook." type="5" refreshedVersion="8" background="1" saveData="1">
    <dbPr connection="Provider=Microsoft.Mashup.OleDb.1;Data Source=$Workbook$;Location=&quot;CiviCRM_Contact_Search (18)&quot;;Extended Properties=&quot;&quot;" command="SELECT * FROM [CiviCRM_Contact_Search (18)]"/>
  </connection>
  <connection id="2" xr16:uid="{BEF3F991-6B76-4925-971E-F887D725EFB7}" keepAlive="1" name="Query - CiviCRM_Contact_Search (19)" description="Connection to the 'CiviCRM_Contact_Search (19)' query in the workbook." type="5" refreshedVersion="8" background="1" saveData="1">
    <dbPr connection="Provider=Microsoft.Mashup.OleDb.1;Data Source=$Workbook$;Location=&quot;CiviCRM_Contact_Search (19)&quot;;Extended Properties=&quot;&quot;" command="SELECT * FROM [CiviCRM_Contact_Search (19)]"/>
  </connection>
</connections>
</file>

<file path=xl/sharedStrings.xml><?xml version="1.0" encoding="utf-8"?>
<sst xmlns="http://schemas.openxmlformats.org/spreadsheetml/2006/main" count="181" uniqueCount="77">
  <si>
    <t>Floriane HYPPOLITE</t>
  </si>
  <si>
    <t>United States</t>
  </si>
  <si>
    <t/>
  </si>
  <si>
    <t>Joseph David JEAN</t>
  </si>
  <si>
    <t>Haiti</t>
  </si>
  <si>
    <t>Natpay</t>
  </si>
  <si>
    <t>Peterson JEAN</t>
  </si>
  <si>
    <t>Ireland</t>
  </si>
  <si>
    <t>Technological University Dublin</t>
  </si>
  <si>
    <t>Fabiola ROSIER</t>
  </si>
  <si>
    <t>Anseye Pou Ayiti - APA</t>
  </si>
  <si>
    <t>Jean Willio SYLME</t>
  </si>
  <si>
    <t>Jacqueline André</t>
  </si>
  <si>
    <t>France</t>
  </si>
  <si>
    <t>Aix-Marseille Université</t>
  </si>
  <si>
    <t>Berla Ferline CHARLES</t>
  </si>
  <si>
    <t>Vanuela FATAL</t>
  </si>
  <si>
    <t>Jean Thaddée Fils JOSEPH</t>
  </si>
  <si>
    <t>Canada</t>
  </si>
  <si>
    <t>Université Notre Dame d'Haiti (UNDH)</t>
  </si>
  <si>
    <t>Rébecca PIERRE</t>
  </si>
  <si>
    <t>Taiwan</t>
  </si>
  <si>
    <t>National Chung Cheng University</t>
  </si>
  <si>
    <t>Fégens LOUIS JEUNE</t>
  </si>
  <si>
    <t>Jude Blanchard</t>
  </si>
  <si>
    <t>Brasserie Nationale d'Haiti (BRANA)</t>
  </si>
  <si>
    <t>Université Quisqueya (UNIQ)</t>
  </si>
  <si>
    <t>Génie industriel</t>
  </si>
  <si>
    <t>Sylvanie DORVIUS</t>
  </si>
  <si>
    <t>Gestion des institutions financières</t>
  </si>
  <si>
    <t>administrator</t>
  </si>
  <si>
    <t> Sciences informatiques</t>
  </si>
  <si>
    <t> Ecole Supérieure d'Infotronique d'Haiti (ESIH)</t>
  </si>
  <si>
    <t>Assistant Lecturer | Web Development</t>
  </si>
  <si>
    <t>Ecole Supérieure d'Infotronique d'Haiti (ESIH)</t>
  </si>
  <si>
    <t>Swansea University</t>
  </si>
  <si>
    <t>Doctor of Philosophy - PhD , Computer Science (HCI | Health Informatics)</t>
  </si>
  <si>
    <t>Coordinatrice du Département de Développement Professionnel</t>
  </si>
  <si>
    <t> Administration scolaire</t>
  </si>
  <si>
    <t>AGRO - Agro-économie</t>
  </si>
  <si>
    <t>Master en Direction de projets ou institution culturelles</t>
  </si>
  <si>
    <t>Gestion des PME</t>
  </si>
  <si>
    <t>Gestion - Finance</t>
  </si>
  <si>
    <t>Psychologie</t>
  </si>
  <si>
    <t>Génie électrique : Télécommunication</t>
  </si>
  <si>
    <t>Communication</t>
  </si>
  <si>
    <t>Présent</t>
  </si>
  <si>
    <t>INTERN at  :  Haitian Education and Leadership Program - HELP</t>
  </si>
  <si>
    <t>Inventory intern</t>
  </si>
  <si>
    <t>Status</t>
  </si>
  <si>
    <t>Alumni</t>
  </si>
  <si>
    <t>Student</t>
  </si>
  <si>
    <t>Année de soutien</t>
  </si>
  <si>
    <t xml:space="preserve">Nom de l’étudiant(e) </t>
  </si>
  <si>
    <t>Bénéficiaire</t>
  </si>
  <si>
    <t>Situation académique (diplômé(e), en cours, Etude Supérieur)</t>
  </si>
  <si>
    <t>Situation professionnelle actuelle</t>
  </si>
  <si>
    <t>diplômé</t>
  </si>
  <si>
    <t>diplômée</t>
  </si>
  <si>
    <t>Situation académique</t>
  </si>
  <si>
    <t>en cours</t>
  </si>
  <si>
    <t>Sexe</t>
  </si>
  <si>
    <t>F</t>
  </si>
  <si>
    <t>M</t>
  </si>
  <si>
    <t>Date début</t>
  </si>
  <si>
    <t>Date fin</t>
  </si>
  <si>
    <t>Pays</t>
  </si>
  <si>
    <t>Université fréquentée</t>
  </si>
  <si>
    <t>Champ d’études</t>
  </si>
  <si>
    <t>Etude Supérieure en Maitrise</t>
  </si>
  <si>
    <t>Etude Supérieure en Doctorat</t>
  </si>
  <si>
    <t>Champ d’études  supérieur</t>
  </si>
  <si>
    <t>Position</t>
  </si>
  <si>
    <t>Employeur</t>
  </si>
  <si>
    <t>Nom du Sponsor</t>
  </si>
  <si>
    <t xml:space="preserve">01/08/2012 31/07/2014 </t>
  </si>
  <si>
    <t>31/07/2013  31/07/2015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</si>
</sst>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name val="Aptos Display"/>
      <family val="2"/>
    </font>
    <font>
      <b/>
      <sz val="12"/>
      <name val="Aptos Display"/>
      <family val="2"/>
    </font>
    <font>
      <u/>
      <sz val="12"/>
      <name val="Aptos Display"/>
      <family val="2"/>
    </font>
    <font>
      <sz val="11"/>
      <color theme="1"/>
      <name val="Aptos Display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7">
    <xf numFmtId="0" fontId="0" fillId="0" borderId="0" xfId="0"/>
    <xf numFmtId="0" fontId="19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/>
    <xf numFmtId="0" fontId="22" fillId="0" borderId="10" xfId="0" applyFont="1" applyBorder="1"/>
    <xf numFmtId="0" fontId="22" fillId="0" borderId="0" xfId="0" applyFont="1"/>
    <xf numFmtId="14" fontId="23" fillId="0" borderId="10" xfId="0" applyNumberFormat="1" applyFont="1" applyBorder="1" applyAlignment="1">
      <alignment horizontal="right"/>
    </xf>
    <xf numFmtId="0" fontId="23" fillId="0" borderId="10" xfId="0" applyFont="1" applyBorder="1" applyAlignment="1">
      <alignment horizontal="center"/>
    </xf>
    <xf numFmtId="0" fontId="24" fillId="33" borderId="10" xfId="0" applyFont="1" applyFill="1" applyBorder="1"/>
    <xf numFmtId="0" fontId="23" fillId="0" borderId="10" xfId="0" applyFont="1" applyBorder="1"/>
    <xf numFmtId="0" fontId="25" fillId="0" borderId="10" xfId="42" applyFont="1" applyBorder="1"/>
    <xf numFmtId="22" fontId="23" fillId="0" borderId="10" xfId="0" applyNumberFormat="1" applyFont="1" applyBorder="1"/>
    <xf numFmtId="0" fontId="23" fillId="0" borderId="10" xfId="0" applyFont="1" applyBorder="1" applyAlignment="1">
      <alignment horizontal="center" vertical="center"/>
    </xf>
    <xf numFmtId="0" fontId="24" fillId="33" borderId="10" xfId="0" applyFont="1" applyFill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5" fillId="0" borderId="10" xfId="42" applyFont="1" applyBorder="1" applyAlignment="1">
      <alignment vertical="center"/>
    </xf>
    <xf numFmtId="14" fontId="23" fillId="0" borderId="10" xfId="0" applyNumberFormat="1" applyFont="1" applyBorder="1"/>
    <xf numFmtId="0" fontId="23" fillId="0" borderId="10" xfId="0" applyFont="1" applyBorder="1" applyAlignment="1">
      <alignment horizontal="right"/>
    </xf>
    <xf numFmtId="0" fontId="26" fillId="0" borderId="0" xfId="0" applyFont="1"/>
    <xf numFmtId="14" fontId="23" fillId="35" borderId="10" xfId="0" applyNumberFormat="1" applyFont="1" applyFill="1" applyBorder="1" applyAlignment="1">
      <alignment horizontal="right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27" formatCode="dd/mm/yyyy\ hh:mm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Aptos Display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alignment horizontal="righ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0" formatCode="General"/>
      <alignment horizontal="righ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0189EA1C-F05A-4BFE-8F59-2EDB2D00F5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6237F1-758D-4423-B585-407945FE6375}" autoFormatId="16" applyNumberFormats="0" applyBorderFormats="0" applyFontFormats="0" applyPatternFormats="0" applyAlignmentFormats="0" applyWidthHeightFormats="0">
  <queryTableRefresh nextId="22" unboundColumnsLeft="8">
    <queryTableFields count="16">
      <queryTableField id="13" dataBound="0" tableColumnId="13"/>
      <queryTableField id="12" dataBound="0" tableColumnId="12"/>
      <queryTableField id="14" dataBound="0" tableColumnId="14"/>
      <queryTableField id="18" dataBound="0" tableColumnId="19"/>
      <queryTableField id="21" dataBound="0" tableColumnId="22"/>
      <queryTableField id="19" dataBound="0" tableColumnId="20"/>
      <queryTableField id="17" dataBound="0" tableColumnId="18"/>
      <queryTableField id="16" dataBound="0" tableColumnId="17"/>
      <queryTableField id="4" name="Enrolled as Undergraduate at-Display Name" tableColumnId="4"/>
      <queryTableField id="15" dataBound="0" tableColumnId="15"/>
      <queryTableField id="20" dataBound="0" tableColumnId="21"/>
      <queryTableField id="5" name="Enrolled in Master’s at-Display Name" tableColumnId="5"/>
      <queryTableField id="6" name="Enrolled in Doctorate at-Display Name" tableColumnId="6"/>
      <queryTableField id="7" name="Field of study at-Display Name" tableColumnId="7"/>
      <queryTableField id="10" name="Employee of-Display Name" tableColumnId="10"/>
      <queryTableField id="11" name="Employee of-Created Date" tableColumnId="11"/>
    </queryTableFields>
    <queryTableDeletedFields count="5">
      <deletedField name="Current Status"/>
      <deletedField name="Undergraduate in-Display Name"/>
      <deletedField name="Display Name"/>
      <deletedField name="Country"/>
      <deletedField name="Sponsored by-Display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F30AC-62D4-4739-B50C-FA778366BFA4}" name="CiviCRM_Contact_Search__18" displayName="CiviCRM_Contact_Search__18" ref="A2:P15" tableType="queryTable" totalsRowShown="0" headerRowDxfId="17" dataDxfId="16">
  <autoFilter ref="A2:P15" xr:uid="{8E7F30AC-62D4-4739-B50C-FA778366BFA4}"/>
  <tableColumns count="16">
    <tableColumn id="13" xr3:uid="{41D39113-06C9-4D68-9B11-4C757B169EE4}" uniqueName="13" name="Date début" queryTableFieldId="13" dataDxfId="15"/>
    <tableColumn id="12" xr3:uid="{9872645D-5D5A-49B4-ABD2-68E44592CD71}" uniqueName="12" name="Date fin" queryTableFieldId="12" dataDxfId="14"/>
    <tableColumn id="14" xr3:uid="{F3204537-5EBA-4C93-91F4-A1F2D300825B}" uniqueName="14" name="Année de soutien" queryTableFieldId="14" dataDxfId="13">
      <calculatedColumnFormula>YEAR(CiviCRM_Contact_Search__18[[#This Row],[Date fin]])-YEAR(CiviCRM_Contact_Search__18[[#This Row],[Date début]])</calculatedColumnFormula>
    </tableColumn>
    <tableColumn id="19" xr3:uid="{0CD7A9D6-5515-4857-B022-D06460602669}" uniqueName="19" name="Nom de l’étudiant(e) " queryTableFieldId="18" dataDxfId="12"/>
    <tableColumn id="22" xr3:uid="{9C12B967-40FB-490C-BA6E-A9A940D9B260}" uniqueName="22" name="Sexe" queryTableFieldId="21" dataDxfId="11"/>
    <tableColumn id="20" xr3:uid="{71094AB3-DF0D-4A01-8A29-B743C5C3AE61}" uniqueName="20" name="Status" queryTableFieldId="19" dataDxfId="10"/>
    <tableColumn id="18" xr3:uid="{AF9F93F2-0368-4A6D-BBEF-2F0D90B853E8}" uniqueName="18" name="Pays" queryTableFieldId="17" dataDxfId="9"/>
    <tableColumn id="17" xr3:uid="{E3732C80-6EC0-4F2B-9908-A4B6128F1D97}" uniqueName="17" name="Nom du Sponsor" queryTableFieldId="16" dataDxfId="8"/>
    <tableColumn id="4" xr3:uid="{33830DEA-1E59-47E6-B307-32B5512635E7}" uniqueName="4" name="Université fréquentée" queryTableFieldId="4" dataDxfId="7"/>
    <tableColumn id="15" xr3:uid="{00B96966-B49D-4A2E-909D-4156FC4A09E4}" uniqueName="15" name="Champ d’études" queryTableFieldId="15" dataDxfId="6"/>
    <tableColumn id="21" xr3:uid="{58482C4E-C4DF-4945-9025-16C88A2D187D}" uniqueName="21" name="Situation académique" queryTableFieldId="20" dataDxfId="5" dataCellStyle="Hyperlink"/>
    <tableColumn id="5" xr3:uid="{E6750AA6-38FD-42F3-86E2-A4F666A7570D}" uniqueName="5" name="Etude Supérieure en Maitrise" queryTableFieldId="5" dataDxfId="4"/>
    <tableColumn id="6" xr3:uid="{E6105554-CC53-4241-B0CB-681B015DE57E}" uniqueName="6" name="Etude Supérieure en Doctorat" queryTableFieldId="6" dataDxfId="3"/>
    <tableColumn id="7" xr3:uid="{9D8FB1FF-B1DB-408C-8818-29F6C4F0AD5A}" uniqueName="7" name="Champ d’études  supérieur" queryTableFieldId="7" dataDxfId="2"/>
    <tableColumn id="10" xr3:uid="{ED8D9D77-59D1-44A9-B453-7AC508C6031B}" uniqueName="10" name="Employeur" queryTableFieldId="10" dataDxfId="1"/>
    <tableColumn id="11" xr3:uid="{DCC92426-75C1-4A7D-9F53-008D6BFB7C3A}" uniqueName="11" name="Position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zla.uhelp.net/civicrm/contact/view?reset=1&amp;cid=369" TargetMode="External"/><Relationship Id="rId13" Type="http://schemas.openxmlformats.org/officeDocument/2006/relationships/hyperlink" Target="https://bazla.uhelp.net/civicrm/contact/view?reset=1&amp;cid=376" TargetMode="External"/><Relationship Id="rId18" Type="http://schemas.openxmlformats.org/officeDocument/2006/relationships/hyperlink" Target="https://bazla.uhelp.net/civicrm/contact/view?reset=1&amp;cid=3915" TargetMode="External"/><Relationship Id="rId3" Type="http://schemas.openxmlformats.org/officeDocument/2006/relationships/hyperlink" Target="https://bazla.uhelp.net/civicrm/contact/view?reset=1&amp;cid=247" TargetMode="External"/><Relationship Id="rId7" Type="http://schemas.openxmlformats.org/officeDocument/2006/relationships/hyperlink" Target="https://bazla.uhelp.net/civicrm/contact/view?reset=1&amp;cid=246" TargetMode="External"/><Relationship Id="rId12" Type="http://schemas.openxmlformats.org/officeDocument/2006/relationships/hyperlink" Target="https://bazla.uhelp.net/civicrm/contact/view?reset=1&amp;cid=246" TargetMode="External"/><Relationship Id="rId17" Type="http://schemas.openxmlformats.org/officeDocument/2006/relationships/hyperlink" Target="https://bazla.uhelp.net/civicrm/contact/view?reset=1&amp;cid=366" TargetMode="External"/><Relationship Id="rId2" Type="http://schemas.openxmlformats.org/officeDocument/2006/relationships/hyperlink" Target="https://bazla.uhelp.net/civicrm/contact/view?reset=1&amp;cid=382" TargetMode="External"/><Relationship Id="rId16" Type="http://schemas.openxmlformats.org/officeDocument/2006/relationships/hyperlink" Target="https://bazla.uhelp.net/civicrm/contact/view?reset=1&amp;cid=246" TargetMode="External"/><Relationship Id="rId1" Type="http://schemas.openxmlformats.org/officeDocument/2006/relationships/hyperlink" Target="https://bazla.uhelp.net/civicrm/contact/view?reset=1&amp;cid=377" TargetMode="External"/><Relationship Id="rId6" Type="http://schemas.openxmlformats.org/officeDocument/2006/relationships/hyperlink" Target="https://bazla.uhelp.net/civicrm/contact/view?reset=1&amp;cid=19924" TargetMode="External"/><Relationship Id="rId11" Type="http://schemas.openxmlformats.org/officeDocument/2006/relationships/hyperlink" Target="https://bazla.uhelp.net/civicrm/contact/view?reset=1&amp;cid=246" TargetMode="External"/><Relationship Id="rId5" Type="http://schemas.openxmlformats.org/officeDocument/2006/relationships/hyperlink" Target="https://bazla.uhelp.net/civicrm/contact/view?reset=1&amp;cid=382" TargetMode="External"/><Relationship Id="rId15" Type="http://schemas.openxmlformats.org/officeDocument/2006/relationships/hyperlink" Target="https://bazla.uhelp.net/civicrm/contact/view?reset=1&amp;cid=351" TargetMode="External"/><Relationship Id="rId10" Type="http://schemas.openxmlformats.org/officeDocument/2006/relationships/hyperlink" Target="https://bazla.uhelp.net/civicrm/contact/view?reset=1&amp;cid=246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bazla.uhelp.net/civicrm/contact/view?reset=1&amp;cid=247" TargetMode="External"/><Relationship Id="rId9" Type="http://schemas.openxmlformats.org/officeDocument/2006/relationships/hyperlink" Target="https://bazla.uhelp.net/civicrm/contact/view?reset=1&amp;cid=246" TargetMode="External"/><Relationship Id="rId14" Type="http://schemas.openxmlformats.org/officeDocument/2006/relationships/hyperlink" Target="https://bazla.uhelp.net/civicrm/contact/view?reset=1&amp;cid=2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71A7-918D-47C9-A7BE-C53A0249422B}">
  <dimension ref="A1:P23"/>
  <sheetViews>
    <sheetView tabSelected="1" workbookViewId="0">
      <selection activeCell="H25" sqref="H25"/>
    </sheetView>
  </sheetViews>
  <sheetFormatPr defaultRowHeight="15" x14ac:dyDescent="0.25"/>
  <cols>
    <col min="1" max="1" width="16" bestFit="1" customWidth="1"/>
    <col min="2" max="2" width="15.5703125" customWidth="1"/>
    <col min="3" max="3" width="16" customWidth="1"/>
    <col min="4" max="4" width="34" bestFit="1" customWidth="1"/>
    <col min="5" max="5" width="9" bestFit="1" customWidth="1"/>
    <col min="6" max="6" width="10.7109375" style="1" bestFit="1" customWidth="1"/>
    <col min="7" max="7" width="13.85546875" customWidth="1"/>
    <col min="8" max="8" width="35.7109375" customWidth="1"/>
    <col min="9" max="9" width="43.85546875" bestFit="1" customWidth="1"/>
    <col min="10" max="10" width="37.140625" bestFit="1" customWidth="1"/>
    <col min="11" max="11" width="28.5703125" bestFit="1" customWidth="1"/>
    <col min="12" max="12" width="36.7109375" bestFit="1" customWidth="1"/>
    <col min="13" max="13" width="37.28515625" bestFit="1" customWidth="1"/>
    <col min="14" max="14" width="69.140625" customWidth="1"/>
    <col min="15" max="15" width="59.42578125" bestFit="1" customWidth="1"/>
    <col min="16" max="16" width="73.42578125" bestFit="1" customWidth="1"/>
    <col min="17" max="17" width="57.42578125" bestFit="1" customWidth="1"/>
  </cols>
  <sheetData>
    <row r="1" spans="1:16" s="4" customFormat="1" ht="57" customHeight="1" x14ac:dyDescent="0.4">
      <c r="A1" s="23" t="s">
        <v>52</v>
      </c>
      <c r="B1" s="23"/>
      <c r="C1" s="23"/>
      <c r="D1" s="23" t="s">
        <v>54</v>
      </c>
      <c r="E1" s="23"/>
      <c r="F1" s="23"/>
      <c r="G1" s="23"/>
      <c r="H1" s="24" t="s">
        <v>55</v>
      </c>
      <c r="I1" s="25"/>
      <c r="J1" s="25"/>
      <c r="K1" s="25"/>
      <c r="L1" s="25"/>
      <c r="M1" s="25"/>
      <c r="N1" s="26"/>
      <c r="O1" s="21" t="s">
        <v>56</v>
      </c>
      <c r="P1" s="22"/>
    </row>
    <row r="2" spans="1:16" s="6" customFormat="1" ht="18.75" x14ac:dyDescent="0.3">
      <c r="A2" s="5" t="s">
        <v>64</v>
      </c>
      <c r="B2" s="5" t="s">
        <v>65</v>
      </c>
      <c r="C2" s="5" t="s">
        <v>52</v>
      </c>
      <c r="D2" s="5" t="s">
        <v>53</v>
      </c>
      <c r="E2" s="5" t="s">
        <v>61</v>
      </c>
      <c r="F2" s="5" t="s">
        <v>49</v>
      </c>
      <c r="G2" s="5" t="s">
        <v>66</v>
      </c>
      <c r="H2" s="5" t="s">
        <v>74</v>
      </c>
      <c r="I2" s="5" t="s">
        <v>67</v>
      </c>
      <c r="J2" s="5" t="s">
        <v>68</v>
      </c>
      <c r="K2" s="5" t="s">
        <v>59</v>
      </c>
      <c r="L2" s="5" t="s">
        <v>69</v>
      </c>
      <c r="M2" s="5" t="s">
        <v>70</v>
      </c>
      <c r="N2" s="5" t="s">
        <v>71</v>
      </c>
      <c r="O2" s="5" t="s">
        <v>73</v>
      </c>
      <c r="P2" s="5" t="s">
        <v>72</v>
      </c>
    </row>
    <row r="3" spans="1:16" ht="15.75" x14ac:dyDescent="0.25">
      <c r="A3" s="7">
        <v>41487</v>
      </c>
      <c r="B3" s="7">
        <v>42947</v>
      </c>
      <c r="C3" s="8">
        <f>YEAR(CiviCRM_Contact_Search__18[[#This Row],[Date fin]])-YEAR(CiviCRM_Contact_Search__18[[#This Row],[Date début]])</f>
        <v>4</v>
      </c>
      <c r="D3" s="9" t="s">
        <v>0</v>
      </c>
      <c r="E3" s="10" t="s">
        <v>62</v>
      </c>
      <c r="F3" s="10" t="s">
        <v>50</v>
      </c>
      <c r="G3" s="10" t="s">
        <v>1</v>
      </c>
      <c r="H3" s="10" t="s">
        <v>25</v>
      </c>
      <c r="I3" s="10" t="s">
        <v>26</v>
      </c>
      <c r="J3" s="11" t="s">
        <v>29</v>
      </c>
      <c r="K3" s="11" t="s">
        <v>58</v>
      </c>
      <c r="L3" s="10" t="s">
        <v>2</v>
      </c>
      <c r="M3" s="10" t="s">
        <v>2</v>
      </c>
      <c r="N3" s="10" t="s">
        <v>2</v>
      </c>
      <c r="O3" s="10" t="s">
        <v>2</v>
      </c>
      <c r="P3" s="12"/>
    </row>
    <row r="4" spans="1:16" ht="15.75" x14ac:dyDescent="0.25">
      <c r="A4" s="7">
        <v>41487</v>
      </c>
      <c r="B4" s="7">
        <v>42216</v>
      </c>
      <c r="C4" s="8">
        <f>YEAR(CiviCRM_Contact_Search__18[[#This Row],[Date fin]])-YEAR(CiviCRM_Contact_Search__18[[#This Row],[Date début]])</f>
        <v>2</v>
      </c>
      <c r="D4" s="9" t="s">
        <v>3</v>
      </c>
      <c r="E4" s="10" t="s">
        <v>63</v>
      </c>
      <c r="F4" s="10" t="s">
        <v>50</v>
      </c>
      <c r="G4" s="10" t="s">
        <v>4</v>
      </c>
      <c r="H4" s="10" t="s">
        <v>25</v>
      </c>
      <c r="I4" s="11" t="s">
        <v>32</v>
      </c>
      <c r="J4" s="11" t="s">
        <v>31</v>
      </c>
      <c r="K4" s="11" t="s">
        <v>57</v>
      </c>
      <c r="L4" s="10" t="s">
        <v>2</v>
      </c>
      <c r="M4" s="10" t="s">
        <v>2</v>
      </c>
      <c r="N4" s="10" t="s">
        <v>2</v>
      </c>
      <c r="O4" s="10" t="s">
        <v>5</v>
      </c>
      <c r="P4" s="10" t="s">
        <v>30</v>
      </c>
    </row>
    <row r="5" spans="1:16" s="2" customFormat="1" ht="31.5" x14ac:dyDescent="0.25">
      <c r="A5" s="20" t="s">
        <v>75</v>
      </c>
      <c r="B5" s="20" t="s">
        <v>76</v>
      </c>
      <c r="C5" s="13">
        <v>2</v>
      </c>
      <c r="D5" s="14" t="s">
        <v>6</v>
      </c>
      <c r="E5" s="15" t="s">
        <v>63</v>
      </c>
      <c r="F5" s="15" t="s">
        <v>50</v>
      </c>
      <c r="G5" s="15" t="s">
        <v>7</v>
      </c>
      <c r="H5" s="15" t="s">
        <v>25</v>
      </c>
      <c r="I5" s="16" t="s">
        <v>34</v>
      </c>
      <c r="J5" s="16" t="s">
        <v>31</v>
      </c>
      <c r="K5" s="16" t="s">
        <v>57</v>
      </c>
      <c r="L5" s="16" t="s">
        <v>35</v>
      </c>
      <c r="M5" s="15" t="s">
        <v>8</v>
      </c>
      <c r="N5" s="15" t="s">
        <v>36</v>
      </c>
      <c r="O5" s="15" t="s">
        <v>8</v>
      </c>
      <c r="P5" s="15" t="s">
        <v>33</v>
      </c>
    </row>
    <row r="6" spans="1:16" ht="15.75" x14ac:dyDescent="0.25">
      <c r="A6" s="7">
        <v>41487</v>
      </c>
      <c r="B6" s="7">
        <v>42947</v>
      </c>
      <c r="C6" s="8">
        <f>YEAR(CiviCRM_Contact_Search__18[[#This Row],[Date fin]])-YEAR(CiviCRM_Contact_Search__18[[#This Row],[Date début]])</f>
        <v>4</v>
      </c>
      <c r="D6" s="9" t="s">
        <v>9</v>
      </c>
      <c r="E6" s="10" t="s">
        <v>62</v>
      </c>
      <c r="F6" s="10" t="s">
        <v>50</v>
      </c>
      <c r="G6" s="10" t="s">
        <v>4</v>
      </c>
      <c r="H6" s="10" t="s">
        <v>25</v>
      </c>
      <c r="I6" s="11" t="s">
        <v>26</v>
      </c>
      <c r="J6" s="11" t="s">
        <v>38</v>
      </c>
      <c r="K6" s="11" t="s">
        <v>58</v>
      </c>
      <c r="L6" s="10" t="s">
        <v>2</v>
      </c>
      <c r="M6" s="10" t="s">
        <v>2</v>
      </c>
      <c r="N6" s="10" t="s">
        <v>2</v>
      </c>
      <c r="O6" s="10" t="s">
        <v>10</v>
      </c>
      <c r="P6" s="10" t="s">
        <v>37</v>
      </c>
    </row>
    <row r="7" spans="1:16" ht="15.75" x14ac:dyDescent="0.25">
      <c r="A7" s="7">
        <v>41487</v>
      </c>
      <c r="B7" s="7">
        <v>42947</v>
      </c>
      <c r="C7" s="8">
        <f>YEAR(CiviCRM_Contact_Search__18[[#This Row],[Date fin]])-YEAR(CiviCRM_Contact_Search__18[[#This Row],[Date début]])</f>
        <v>4</v>
      </c>
      <c r="D7" s="9" t="s">
        <v>11</v>
      </c>
      <c r="E7" s="10" t="s">
        <v>63</v>
      </c>
      <c r="F7" s="10" t="s">
        <v>50</v>
      </c>
      <c r="G7" s="10" t="s">
        <v>1</v>
      </c>
      <c r="H7" s="10" t="s">
        <v>25</v>
      </c>
      <c r="I7" s="11" t="s">
        <v>26</v>
      </c>
      <c r="J7" s="11" t="s">
        <v>39</v>
      </c>
      <c r="K7" s="11" t="s">
        <v>57</v>
      </c>
      <c r="L7" s="17"/>
      <c r="M7" s="10" t="s">
        <v>2</v>
      </c>
      <c r="N7" s="10" t="s">
        <v>2</v>
      </c>
      <c r="O7" s="10" t="s">
        <v>2</v>
      </c>
      <c r="P7" s="12"/>
    </row>
    <row r="8" spans="1:16" ht="15.75" x14ac:dyDescent="0.25">
      <c r="A8" s="7">
        <v>42583</v>
      </c>
      <c r="B8" s="7">
        <v>42947</v>
      </c>
      <c r="C8" s="8">
        <f>YEAR(CiviCRM_Contact_Search__18[[#This Row],[Date fin]])-YEAR(CiviCRM_Contact_Search__18[[#This Row],[Date début]])</f>
        <v>1</v>
      </c>
      <c r="D8" s="9" t="s">
        <v>12</v>
      </c>
      <c r="E8" s="10" t="s">
        <v>62</v>
      </c>
      <c r="F8" s="10" t="s">
        <v>50</v>
      </c>
      <c r="G8" s="10" t="s">
        <v>13</v>
      </c>
      <c r="H8" s="10" t="s">
        <v>25</v>
      </c>
      <c r="I8" s="11" t="s">
        <v>26</v>
      </c>
      <c r="J8" s="10" t="s">
        <v>41</v>
      </c>
      <c r="K8" s="11" t="s">
        <v>58</v>
      </c>
      <c r="L8" s="10" t="s">
        <v>14</v>
      </c>
      <c r="M8" s="10"/>
      <c r="N8" s="10" t="s">
        <v>40</v>
      </c>
      <c r="O8" s="10" t="s">
        <v>2</v>
      </c>
      <c r="P8" s="12"/>
    </row>
    <row r="9" spans="1:16" ht="15.75" x14ac:dyDescent="0.25">
      <c r="A9" s="7">
        <v>42948</v>
      </c>
      <c r="B9" s="7">
        <v>44408</v>
      </c>
      <c r="C9" s="8">
        <f>YEAR(CiviCRM_Contact_Search__18[[#This Row],[Date fin]])-YEAR(CiviCRM_Contact_Search__18[[#This Row],[Date début]])</f>
        <v>4</v>
      </c>
      <c r="D9" s="9" t="s">
        <v>15</v>
      </c>
      <c r="E9" s="10" t="s">
        <v>62</v>
      </c>
      <c r="F9" s="10" t="s">
        <v>50</v>
      </c>
      <c r="G9" s="10" t="s">
        <v>1</v>
      </c>
      <c r="H9" s="10" t="s">
        <v>25</v>
      </c>
      <c r="I9" s="11" t="s">
        <v>26</v>
      </c>
      <c r="J9" s="11" t="s">
        <v>42</v>
      </c>
      <c r="K9" s="11" t="s">
        <v>58</v>
      </c>
      <c r="L9" s="10" t="s">
        <v>2</v>
      </c>
      <c r="M9" s="10" t="s">
        <v>2</v>
      </c>
      <c r="N9" s="10" t="s">
        <v>2</v>
      </c>
      <c r="O9" s="10" t="s">
        <v>2</v>
      </c>
      <c r="P9" s="12"/>
    </row>
    <row r="10" spans="1:16" ht="15.75" x14ac:dyDescent="0.25">
      <c r="A10" s="7">
        <v>42948</v>
      </c>
      <c r="B10" s="7">
        <v>44408</v>
      </c>
      <c r="C10" s="8">
        <f>YEAR(CiviCRM_Contact_Search__18[[#This Row],[Date fin]])-YEAR(CiviCRM_Contact_Search__18[[#This Row],[Date début]])</f>
        <v>4</v>
      </c>
      <c r="D10" s="9" t="s">
        <v>16</v>
      </c>
      <c r="E10" s="10" t="s">
        <v>62</v>
      </c>
      <c r="F10" s="10" t="s">
        <v>50</v>
      </c>
      <c r="G10" s="10" t="s">
        <v>1</v>
      </c>
      <c r="H10" s="10" t="s">
        <v>25</v>
      </c>
      <c r="I10" s="11" t="s">
        <v>26</v>
      </c>
      <c r="J10" s="10" t="s">
        <v>27</v>
      </c>
      <c r="K10" s="11" t="s">
        <v>58</v>
      </c>
      <c r="L10" s="10" t="s">
        <v>2</v>
      </c>
      <c r="M10" s="10" t="s">
        <v>2</v>
      </c>
      <c r="N10" s="10" t="s">
        <v>2</v>
      </c>
      <c r="O10" s="10" t="s">
        <v>2</v>
      </c>
      <c r="P10" s="12"/>
    </row>
    <row r="11" spans="1:16" ht="15.75" x14ac:dyDescent="0.25">
      <c r="A11" s="7">
        <v>42948</v>
      </c>
      <c r="B11" s="7">
        <v>44408</v>
      </c>
      <c r="C11" s="8">
        <f>YEAR(CiviCRM_Contact_Search__18[[#This Row],[Date fin]])-YEAR(CiviCRM_Contact_Search__18[[#This Row],[Date début]])</f>
        <v>4</v>
      </c>
      <c r="D11" s="9" t="s">
        <v>17</v>
      </c>
      <c r="E11" s="10" t="s">
        <v>63</v>
      </c>
      <c r="F11" s="10" t="s">
        <v>50</v>
      </c>
      <c r="G11" s="10" t="s">
        <v>18</v>
      </c>
      <c r="H11" s="10" t="s">
        <v>25</v>
      </c>
      <c r="I11" s="10" t="s">
        <v>19</v>
      </c>
      <c r="J11" s="11" t="s">
        <v>43</v>
      </c>
      <c r="K11" s="11" t="s">
        <v>57</v>
      </c>
      <c r="L11" s="10" t="s">
        <v>2</v>
      </c>
      <c r="M11" s="10" t="s">
        <v>2</v>
      </c>
      <c r="N11" s="10" t="s">
        <v>2</v>
      </c>
      <c r="O11" s="10" t="s">
        <v>2</v>
      </c>
      <c r="P11" s="12"/>
    </row>
    <row r="12" spans="1:16" ht="15.75" x14ac:dyDescent="0.25">
      <c r="A12" s="7">
        <v>42948</v>
      </c>
      <c r="B12" s="7">
        <v>44957</v>
      </c>
      <c r="C12" s="8">
        <f>YEAR(CiviCRM_Contact_Search__18[[#This Row],[Date fin]])-YEAR(CiviCRM_Contact_Search__18[[#This Row],[Date début]])</f>
        <v>6</v>
      </c>
      <c r="D12" s="9" t="s">
        <v>20</v>
      </c>
      <c r="E12" s="10" t="s">
        <v>62</v>
      </c>
      <c r="F12" s="10" t="s">
        <v>50</v>
      </c>
      <c r="G12" s="10" t="s">
        <v>21</v>
      </c>
      <c r="H12" s="10" t="s">
        <v>25</v>
      </c>
      <c r="I12" s="11" t="s">
        <v>26</v>
      </c>
      <c r="J12" s="11" t="s">
        <v>44</v>
      </c>
      <c r="K12" s="11" t="s">
        <v>58</v>
      </c>
      <c r="L12" s="10" t="s">
        <v>22</v>
      </c>
      <c r="M12" s="10" t="s">
        <v>2</v>
      </c>
      <c r="N12" s="10" t="s">
        <v>2</v>
      </c>
      <c r="O12" s="10" t="s">
        <v>2</v>
      </c>
      <c r="P12" s="12"/>
    </row>
    <row r="13" spans="1:16" ht="15.75" x14ac:dyDescent="0.25">
      <c r="A13" s="7">
        <v>42948</v>
      </c>
      <c r="B13" s="7">
        <v>43861</v>
      </c>
      <c r="C13" s="8">
        <f>YEAR(CiviCRM_Contact_Search__18[[#This Row],[Date fin]])-YEAR(CiviCRM_Contact_Search__18[[#This Row],[Date début]])</f>
        <v>3</v>
      </c>
      <c r="D13" s="9" t="s">
        <v>23</v>
      </c>
      <c r="E13" s="10" t="s">
        <v>63</v>
      </c>
      <c r="F13" s="10" t="s">
        <v>50</v>
      </c>
      <c r="G13" s="10" t="s">
        <v>4</v>
      </c>
      <c r="H13" s="10" t="s">
        <v>25</v>
      </c>
      <c r="I13" s="10" t="s">
        <v>19</v>
      </c>
      <c r="J13" s="11" t="s">
        <v>45</v>
      </c>
      <c r="K13" s="11" t="s">
        <v>57</v>
      </c>
      <c r="L13" s="10" t="s">
        <v>2</v>
      </c>
      <c r="M13" s="10" t="s">
        <v>2</v>
      </c>
      <c r="N13" s="10" t="s">
        <v>2</v>
      </c>
      <c r="O13" s="10" t="s">
        <v>2</v>
      </c>
      <c r="P13" s="12"/>
    </row>
    <row r="14" spans="1:16" ht="15.75" x14ac:dyDescent="0.25">
      <c r="A14" s="7">
        <v>44774</v>
      </c>
      <c r="B14" s="18" t="s">
        <v>46</v>
      </c>
      <c r="C14" s="8">
        <v>4</v>
      </c>
      <c r="D14" s="9" t="s">
        <v>24</v>
      </c>
      <c r="E14" s="10" t="s">
        <v>63</v>
      </c>
      <c r="F14" s="10" t="s">
        <v>51</v>
      </c>
      <c r="G14" s="10" t="s">
        <v>4</v>
      </c>
      <c r="H14" s="10" t="s">
        <v>25</v>
      </c>
      <c r="I14" s="10" t="s">
        <v>26</v>
      </c>
      <c r="J14" s="10" t="s">
        <v>27</v>
      </c>
      <c r="K14" s="10" t="s">
        <v>60</v>
      </c>
      <c r="L14" s="10" t="s">
        <v>2</v>
      </c>
      <c r="M14" s="10" t="s">
        <v>2</v>
      </c>
      <c r="N14" s="10" t="s">
        <v>2</v>
      </c>
      <c r="O14" s="10" t="s">
        <v>2</v>
      </c>
      <c r="P14" s="12"/>
    </row>
    <row r="15" spans="1:16" ht="15.75" x14ac:dyDescent="0.25">
      <c r="A15" s="7">
        <v>44774</v>
      </c>
      <c r="B15" s="18" t="s">
        <v>46</v>
      </c>
      <c r="C15" s="8">
        <v>4</v>
      </c>
      <c r="D15" s="9" t="s">
        <v>28</v>
      </c>
      <c r="E15" s="10" t="s">
        <v>62</v>
      </c>
      <c r="F15" s="10" t="s">
        <v>51</v>
      </c>
      <c r="G15" s="10" t="s">
        <v>4</v>
      </c>
      <c r="H15" s="10" t="s">
        <v>25</v>
      </c>
      <c r="I15" s="10" t="s">
        <v>26</v>
      </c>
      <c r="J15" s="10" t="s">
        <v>27</v>
      </c>
      <c r="K15" s="10" t="s">
        <v>60</v>
      </c>
      <c r="L15" s="10" t="s">
        <v>2</v>
      </c>
      <c r="M15" s="10"/>
      <c r="N15" s="10" t="s">
        <v>2</v>
      </c>
      <c r="O15" s="19" t="s">
        <v>47</v>
      </c>
      <c r="P15" s="10" t="s">
        <v>48</v>
      </c>
    </row>
    <row r="23" spans="9:9" x14ac:dyDescent="0.25">
      <c r="I23" s="3"/>
    </row>
  </sheetData>
  <mergeCells count="4">
    <mergeCell ref="O1:P1"/>
    <mergeCell ref="A1:C1"/>
    <mergeCell ref="D1:G1"/>
    <mergeCell ref="H1:N1"/>
  </mergeCells>
  <hyperlinks>
    <hyperlink ref="J3" r:id="rId1" display="https://bazla.uhelp.net/civicrm/contact/view?reset=1&amp;cid=377" xr:uid="{38955F23-A126-4A2F-A408-04E78D101D92}"/>
    <hyperlink ref="J4" r:id="rId2" display="https://bazla.uhelp.net/civicrm/contact/view?reset=1&amp;cid=382" xr:uid="{22960A90-9142-472E-BA1E-E3B581FDADEC}"/>
    <hyperlink ref="I4" r:id="rId3" display="https://bazla.uhelp.net/civicrm/contact/view?reset=1&amp;cid=247" xr:uid="{4391C5C8-9E19-4984-A340-9191DB30465F}"/>
    <hyperlink ref="I5" r:id="rId4" display="https://bazla.uhelp.net/civicrm/contact/view?reset=1&amp;cid=247" xr:uid="{EA4248E3-8480-4552-B486-52BD91B78ED4}"/>
    <hyperlink ref="J5" r:id="rId5" display="https://bazla.uhelp.net/civicrm/contact/view?reset=1&amp;cid=382" xr:uid="{0F475725-FDC4-41DE-90DD-4AA4F3DBDF25}"/>
    <hyperlink ref="L5" r:id="rId6" display="https://bazla.uhelp.net/civicrm/contact/view?reset=1&amp;cid=19924" xr:uid="{548B3040-5147-4D04-BA54-69A8C7949172}"/>
    <hyperlink ref="I6" r:id="rId7" display="https://bazla.uhelp.net/civicrm/contact/view?reset=1&amp;cid=246" xr:uid="{10E57B2B-5A08-4F3E-9E90-6597A7010F33}"/>
    <hyperlink ref="J6" r:id="rId8" display="https://bazla.uhelp.net/civicrm/contact/view?reset=1&amp;cid=369" xr:uid="{D5ABD14D-E7E2-4082-9337-080197164B63}"/>
    <hyperlink ref="I7" r:id="rId9" display="https://bazla.uhelp.net/civicrm/contact/view?reset=1&amp;cid=246" xr:uid="{FA439FBB-91A7-40BD-930E-96550F8A5663}"/>
    <hyperlink ref="J7" r:id="rId10" display="https://bazla.uhelp.net/civicrm/contact/view?reset=1&amp;cid=246" xr:uid="{CE8F8FF3-9BD2-408E-B4F3-D4A6D5C13333}"/>
    <hyperlink ref="I8" r:id="rId11" display="https://bazla.uhelp.net/civicrm/contact/view?reset=1&amp;cid=246" xr:uid="{04040DC5-B689-4C34-B2F0-57BA4C0D96A6}"/>
    <hyperlink ref="I9" r:id="rId12" display="https://bazla.uhelp.net/civicrm/contact/view?reset=1&amp;cid=246" xr:uid="{B239B3D7-64C4-48DE-B7FD-D0A15E7F25C2}"/>
    <hyperlink ref="J9" r:id="rId13" display="https://bazla.uhelp.net/civicrm/contact/view?reset=1&amp;cid=376" xr:uid="{D3C114FC-A1BE-43BF-AE33-7C4420A305C1}"/>
    <hyperlink ref="I10" r:id="rId14" display="https://bazla.uhelp.net/civicrm/contact/view?reset=1&amp;cid=246" xr:uid="{5B227E45-201B-44FA-B5C8-CD94620F7C21}"/>
    <hyperlink ref="J11" r:id="rId15" display="https://bazla.uhelp.net/civicrm/contact/view?reset=1&amp;cid=351" xr:uid="{3F03327D-45BA-4673-9F90-E398C826AED9}"/>
    <hyperlink ref="I12" r:id="rId16" display="https://bazla.uhelp.net/civicrm/contact/view?reset=1&amp;cid=246" xr:uid="{BB665633-35FC-493B-A57A-848DC50E8036}"/>
    <hyperlink ref="J12" r:id="rId17" display="https://bazla.uhelp.net/civicrm/contact/view?reset=1&amp;cid=366" xr:uid="{188D3F18-EDED-4A72-A20F-3B57BED0F4A5}"/>
    <hyperlink ref="J13" r:id="rId18" display="https://bazla.uhelp.net/civicrm/contact/view?reset=1&amp;cid=3915" xr:uid="{A233E836-0E93-4983-9A71-20068A511F3D}"/>
  </hyperlinks>
  <pageMargins left="0.7" right="0.7" top="0.75" bottom="0.75" header="0.3" footer="0.3"/>
  <ignoredErrors>
    <ignoredError sqref="C14" calculatedColumn="1"/>
  </ignoredErrors>
  <tableParts count="1">
    <tablePart r:id="rId1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D8AF47-6E63-4D89-9542-0D99D831C1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Boursiers soutenus par BRANA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Dorcy Widno</cp:lastModifiedBy>
  <dcterms:created xsi:type="dcterms:W3CDTF">2026-02-25T20:31:54Z</dcterms:created>
  <dcterms:modified xsi:type="dcterms:W3CDTF">2026-02-25T20:50:27Z</dcterms:modified>
</cp:coreProperties>
</file>